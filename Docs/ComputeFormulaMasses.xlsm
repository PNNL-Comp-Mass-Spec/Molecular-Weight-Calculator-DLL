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Projects\DataMining\MolecularWeightCalculator\Docs\"/>
    </mc:Choice>
  </mc:AlternateContent>
  <xr:revisionPtr revIDLastSave="0" documentId="13_ncr:1_{81658161-4B06-4EB4-AA21-C8CAC7EE0680}" xr6:coauthVersionLast="46" xr6:coauthVersionMax="46" xr10:uidLastSave="{00000000-0000-0000-0000-000000000000}"/>
  <bookViews>
    <workbookView xWindow="1476" yWindow="204" windowWidth="18456" windowHeight="10896" xr2:uid="{AD855B04-F9D3-486E-A606-D4096BE6EE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 a="1"/>
  <c r="B11" i="1" a="1"/>
  <c r="B6" i="1" a="1"/>
  <c r="C8" i="1" a="1"/>
  <c r="C10" i="1" a="1"/>
  <c r="B10" i="1" a="1"/>
  <c r="C12" i="1" a="1"/>
  <c r="C9" i="1" a="1"/>
  <c r="B2" i="1" a="1"/>
  <c r="B5" i="1" a="1"/>
  <c r="C2" i="1" a="1"/>
  <c r="B8" i="1" a="1"/>
  <c r="B4" i="1" a="1"/>
  <c r="C3" i="1" a="1"/>
  <c r="C11" i="1" a="1"/>
  <c r="C5" i="1" a="1"/>
  <c r="B12" i="1" a="1"/>
  <c r="C4" i="1" a="1"/>
  <c r="B7" i="1" a="1"/>
  <c r="B3" i="1" a="1"/>
  <c r="C6" i="1" a="1"/>
  <c r="C7" i="1" a="1"/>
  <c r="C7" i="1" l="1"/>
  <c r="C6" i="1"/>
  <c r="B3" i="1"/>
  <c r="B7" i="1"/>
  <c r="C4" i="1"/>
  <c r="B12" i="1"/>
  <c r="C5" i="1"/>
  <c r="C11" i="1"/>
  <c r="C3" i="1"/>
  <c r="B4" i="1"/>
  <c r="B8" i="1"/>
  <c r="C2" i="1"/>
  <c r="B5" i="1"/>
  <c r="B2" i="1"/>
  <c r="C9" i="1"/>
  <c r="C12" i="1"/>
  <c r="B10" i="1"/>
  <c r="C10" i="1"/>
  <c r="C8" i="1"/>
  <c r="B6" i="1"/>
  <c r="B11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<sst xmlns="http://schemas.openxmlformats.org/spreadsheetml/2006/main" count="14" uniqueCount="14">
  <si>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H2O2</t>
  </si>
  <si>
    <t>c6h6</t>
  </si>
  <si>
    <t>Formula</t>
  </si>
  <si>
    <t>Isotopic Mass</t>
  </si>
  <si>
    <t>Average Mass</t>
  </si>
  <si>
    <t>HCl</t>
  </si>
  <si>
    <t>dcl</t>
  </si>
  <si>
    <t>DCl</t>
  </si>
  <si>
    <t>BrCH2(CH2)7CH2Br</t>
  </si>
  <si>
    <t>FeCl3-6H2O</t>
  </si>
  <si>
    <t>Co(Bpy)(CO)4</t>
  </si>
  <si>
    <t>^13C6H6-.1H2O</t>
  </si>
  <si>
    <t>HGlyLeuTyrOH</t>
  </si>
  <si>
    <t>BrCH2(CH2)7CH2Br&gt;CH8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</si>
</sst>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941E-FCFB-4422-B8F2-12D6790D56E6}">
  <sheetPr codeName="Sheet1"/>
  <dimension ref="A1:C12"/>
  <sheetViews>
    <sheetView tabSelected="1" workbookViewId="0">
      <selection activeCell="A8" sqref="A8"/>
    </sheetView>
  </sheetViews>
  <sheetFormatPr defaultRowHeight="14.4" x14ac:dyDescent="0.3"/>
  <cols>
    <col min="1" max="1" width="21.33203125" bestFit="1" customWidth="1"/>
    <col min="2" max="3" width="12.21875" bestFit="1" customWidth="1"/>
  </cols>
  <sheetData>
    <row r="1" spans="1:3" x14ac:dyDescent="0.3">
      <c r="A1" s="1" t="s">
        <v>2</v>
      </c>
      <c r="B1" s="1" t="s">
        <v>4</v>
      </c>
      <c r="C1" s="1" t="s">
        <v>3</v>
      </c>
    </row>
    <row r="2" spans="1:3" x14ac:dyDescent="0.3">
      <c r="A2" t="s">
        <v>1</v>
      </c>
      <c r="B2" cm="1">
        <f t="array" ref="B2">ComputeAverageMass($A2)</f>
        <v>78.111840000000001</v>
      </c>
      <c r="C2" cm="1">
        <f t="array" ref="C2">ComputeIsotopicMass($A2)</f>
        <v>78.046947599999996</v>
      </c>
    </row>
    <row r="3" spans="1:3" x14ac:dyDescent="0.3">
      <c r="A3" t="s">
        <v>0</v>
      </c>
      <c r="B3" cm="1">
        <f t="array" ref="B3">ComputeAverageMass($A3)</f>
        <v>34.014679999999998</v>
      </c>
      <c r="C3" cm="1">
        <f t="array" ref="C3">ComputeIsotopicMass($A3)</f>
        <v>34.005479200000003</v>
      </c>
    </row>
    <row r="4" spans="1:3" x14ac:dyDescent="0.3">
      <c r="A4" t="s">
        <v>5</v>
      </c>
      <c r="B4" cm="1">
        <f t="array" ref="B4">ComputeAverageMass($A4)</f>
        <v>36.460639999999998</v>
      </c>
      <c r="C4" cm="1">
        <f t="array" ref="C4">ComputeIsotopicMass($A4)</f>
        <v>35.976677600000002</v>
      </c>
    </row>
    <row r="5" spans="1:3" x14ac:dyDescent="0.3">
      <c r="A5" t="s">
        <v>6</v>
      </c>
      <c r="B5" cm="1">
        <f t="array" ref="B5">ComputeAverageMass($A5)</f>
        <v>37.466700000000003</v>
      </c>
      <c r="C5" cm="1">
        <f t="array" ref="C5">ComputeIsotopicMass($A5)</f>
        <v>36.982853000000006</v>
      </c>
    </row>
    <row r="6" spans="1:3" x14ac:dyDescent="0.3">
      <c r="A6" t="s">
        <v>7</v>
      </c>
      <c r="B6" cm="1">
        <f t="array" ref="B6">ComputeAverageMass($A6)</f>
        <v>37.466700000000003</v>
      </c>
      <c r="C6" cm="1">
        <f t="array" ref="C6">ComputeIsotopicMass($A6)</f>
        <v>36.982853000000006</v>
      </c>
    </row>
    <row r="7" spans="1:3" x14ac:dyDescent="0.3">
      <c r="A7" t="s">
        <v>8</v>
      </c>
      <c r="B7" cm="1">
        <f t="array" ref="B7">ComputeAverageMass($A7)</f>
        <v>286.04721999999998</v>
      </c>
      <c r="C7" cm="1">
        <f t="array" ref="C7">ComputeIsotopicMass($A7)</f>
        <v>283.97751479999999</v>
      </c>
    </row>
    <row r="8" spans="1:3" x14ac:dyDescent="0.3">
      <c r="A8" t="s">
        <v>9</v>
      </c>
      <c r="B8" cm="1">
        <f t="array" ref="B8">ComputeAverageMass($A8)</f>
        <v>270.29478</v>
      </c>
      <c r="C8" cm="1">
        <f t="array" ref="C8">ComputeIsotopicMass($A8)</f>
        <v>268.90488320000003</v>
      </c>
    </row>
    <row r="9" spans="1:3" x14ac:dyDescent="0.3">
      <c r="A9" t="s">
        <v>10</v>
      </c>
      <c r="B9" cm="1">
        <f t="array" ref="B9">ComputeAverageMass($A9)</f>
        <v>327.1576</v>
      </c>
      <c r="C9" cm="1">
        <f t="array" ref="C9">ComputeIsotopicMass($A9)</f>
        <v>326.98160280000002</v>
      </c>
    </row>
    <row r="10" spans="1:3" x14ac:dyDescent="0.3">
      <c r="A10" t="s">
        <v>11</v>
      </c>
      <c r="B10" cm="1">
        <f t="array" ref="B10">ComputeAverageMass($A10)</f>
        <v>85.849168000000006</v>
      </c>
      <c r="C10" cm="1">
        <f t="array" ref="C10">ComputeIsotopicMass($A10)</f>
        <v>85.848004020000005</v>
      </c>
    </row>
    <row r="11" spans="1:3" x14ac:dyDescent="0.3">
      <c r="A11" t="s">
        <v>12</v>
      </c>
      <c r="B11" cm="1">
        <f t="array" ref="B11">ComputeAverageMass($A11)</f>
        <v>351.39762000000002</v>
      </c>
      <c r="C11" cm="1">
        <f t="array" ref="C11">ComputeIsotopicMass($A11)</f>
        <v>351.17941200000001</v>
      </c>
    </row>
    <row r="12" spans="1:3" x14ac:dyDescent="0.3">
      <c r="A12" t="s">
        <v>13</v>
      </c>
      <c r="B12" cm="1">
        <f t="array" ref="B12">ComputeAverageMass($A12)</f>
        <v>265.97299999999996</v>
      </c>
      <c r="C12" cm="1">
        <f t="array" ref="C12">ComputeIsotopicMass($A12)</f>
        <v>263.914918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Monroe</dc:creator>
  <cp:lastModifiedBy>Matthew Monroe</cp:lastModifiedBy>
  <dcterms:created xsi:type="dcterms:W3CDTF">2021-04-13T03:44:22Z</dcterms:created>
  <dcterms:modified xsi:type="dcterms:W3CDTF">2021-04-14T00:28:14Z</dcterms:modified>
</cp:coreProperties>
</file>